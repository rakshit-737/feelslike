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eelsLike BOM" sheetId="1" state="visible" r:id="rId1"/>
    <sheet xmlns:r="http://schemas.openxmlformats.org/officeDocument/2006/relationships" name="Minimum build" sheetId="2" state="visible" r:id="rId2"/>
    <sheet xmlns:r="http://schemas.openxmlformats.org/officeDocument/2006/relationships" name="Order message" sheetId="3" state="visible" r:id="rId3"/>
    <sheet xmlns:r="http://schemas.openxmlformats.org/officeDocument/2006/relationships" name="Not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3"/>
    </font>
    <font>
      <i val="1"/>
      <sz val="9"/>
    </font>
    <font>
      <b val="1"/>
      <color rgb="00FFFFFF"/>
    </font>
    <font>
      <b val="1"/>
    </font>
    <font>
      <b val="1"/>
      <sz val="12"/>
    </font>
    <font>
      <b val="1"/>
      <sz val="11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DEBF7"/>
      </patternFill>
    </fill>
    <fill>
      <patternFill patternType="solid">
        <fgColor rgb="00FFF2CC"/>
      </patternFill>
    </fill>
    <fill>
      <patternFill patternType="solid">
        <fgColor rgb="00C6EFCE"/>
      </patternFill>
    </fill>
    <fill>
      <patternFill patternType="solid">
        <fgColor rgb="00E2EFDA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4" fillId="3" borderId="1" pivotButton="0" quotePrefix="0" xfId="0"/>
    <xf numFmtId="0" fontId="0" fillId="3" borderId="1" pivotButton="0" quotePrefix="0" xfId="0"/>
    <xf numFmtId="0" fontId="0" fillId="0" borderId="1" applyAlignment="1" pivotButton="0" quotePrefix="0" xfId="0">
      <alignment vertical="top"/>
    </xf>
    <xf numFmtId="0" fontId="0" fillId="0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/>
    </xf>
    <xf numFmtId="0" fontId="0" fillId="4" borderId="1" applyAlignment="1" pivotButton="0" quotePrefix="0" xfId="0">
      <alignment vertical="top" wrapText="1"/>
    </xf>
    <xf numFmtId="0" fontId="4" fillId="0" borderId="0" pivotButton="0" quotePrefix="0" xfId="0"/>
    <xf numFmtId="0" fontId="4" fillId="5" borderId="0" pivotButton="0" quotePrefix="0" xfId="0"/>
    <xf numFmtId="0" fontId="5" fillId="0" borderId="0" pivotButton="0" quotePrefix="0" xfId="0"/>
    <xf numFmtId="0" fontId="3" fillId="2" borderId="0" pivotButton="0" quotePrefix="0" xfId="0"/>
    <xf numFmtId="0" fontId="0" fillId="0" borderId="0" applyAlignment="1" pivotButton="0" quotePrefix="0" xfId="0">
      <alignment vertical="top" wrapText="1"/>
    </xf>
    <xf numFmtId="0" fontId="0" fillId="0" borderId="4" pivotButton="0" quotePrefix="0" xfId="0"/>
    <xf numFmtId="0" fontId="0" fillId="0" borderId="5" pivotButton="0" quotePrefix="0" xfId="0"/>
    <xf numFmtId="0" fontId="6" fillId="0" borderId="0" pivotButton="0" quotePrefix="0" xfId="0"/>
    <xf numFmtId="0" fontId="0" fillId="6" borderId="1" applyAlignment="1" pivotButton="0" quotePrefix="0" xfId="0">
      <alignment vertical="top"/>
    </xf>
    <xf numFmtId="0" fontId="0" fillId="6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6" customWidth="1" min="2" max="2"/>
    <col width="34" customWidth="1" min="3" max="3"/>
    <col width="15" customWidth="1" min="4" max="4"/>
    <col width="11" customWidth="1" min="5" max="5"/>
    <col width="6" customWidth="1" min="6" max="6"/>
    <col width="12" customWidth="1" min="7" max="7"/>
    <col width="78" customWidth="1" min="8" max="8"/>
  </cols>
  <sheetData>
    <row r="1">
      <c r="A1" s="1" t="inlineStr">
        <is>
          <t>FeelsLike hardware node — component list (Swastik Electronics price list, 05-03-2025)</t>
        </is>
      </c>
    </row>
    <row r="2">
      <c r="A2" s="2" t="inlineStr">
        <is>
          <t>Excludes (already have): ESP32, Raspberry Pi, breadboard, jumper wires, capacitors, resistors.  Qty 0 = alternative/optional, not in the subtotal.  Order by WhatsApp to 7373077229; courier extra.</t>
        </is>
      </c>
    </row>
    <row r="4">
      <c r="A4" s="3" t="inlineStr">
        <is>
          <t>S.No</t>
        </is>
      </c>
      <c r="B4" s="3" t="inlineStr">
        <is>
          <t>Section</t>
        </is>
      </c>
      <c r="C4" s="3" t="inlineStr">
        <is>
          <t>Item</t>
        </is>
      </c>
      <c r="D4" s="3" t="inlineStr">
        <is>
          <t>Swastik code</t>
        </is>
      </c>
      <c r="E4" s="3" t="inlineStr">
        <is>
          <t>Rate (INR)</t>
        </is>
      </c>
      <c r="F4" s="3" t="inlineStr">
        <is>
          <t>Qty</t>
        </is>
      </c>
      <c r="G4" s="3" t="inlineStr">
        <is>
          <t>Total (INR)</t>
        </is>
      </c>
      <c r="H4" s="3" t="inlineStr">
        <is>
          <t>Why we need it</t>
        </is>
      </c>
    </row>
    <row r="5">
      <c r="A5" s="4" t="inlineStr">
        <is>
          <t>A. CORE — sensing</t>
        </is>
      </c>
      <c r="B5" s="15" t="n"/>
      <c r="C5" s="15" t="n"/>
      <c r="D5" s="15" t="n"/>
      <c r="E5" s="15" t="n"/>
      <c r="F5" s="15" t="n"/>
      <c r="G5" s="15" t="n"/>
      <c r="H5" s="16" t="n"/>
    </row>
    <row r="6">
      <c r="A6" s="6" t="n">
        <v>1</v>
      </c>
      <c r="B6" s="6" t="inlineStr">
        <is>
          <t>A</t>
        </is>
      </c>
      <c r="C6" s="6" t="inlineStr">
        <is>
          <t>DHT22 temperature + humidity sensor</t>
        </is>
      </c>
      <c r="D6" s="6" t="inlineStr">
        <is>
          <t>282</t>
        </is>
      </c>
      <c r="E6" s="6" t="n">
        <v>220</v>
      </c>
      <c r="F6" s="6" t="n">
        <v>1</v>
      </c>
      <c r="G6" s="6" t="n">
        <v>220</v>
      </c>
      <c r="H6" s="7" t="inlineStr">
        <is>
          <t>Primary zone sensor (GPIO4). Firmware default build.</t>
        </is>
      </c>
    </row>
    <row r="7">
      <c r="A7" s="6" t="n">
        <v>2</v>
      </c>
      <c r="B7" s="6" t="inlineStr">
        <is>
          <t>A</t>
        </is>
      </c>
      <c r="C7" s="6" t="inlineStr">
        <is>
          <t>Female headers (1 strip)</t>
        </is>
      </c>
      <c r="D7" s="6" t="inlineStr">
        <is>
          <t>909</t>
        </is>
      </c>
      <c r="E7" s="6" t="n">
        <v>9</v>
      </c>
      <c r="F7" s="6" t="n">
        <v>1</v>
      </c>
      <c r="G7" s="6" t="n">
        <v>9</v>
      </c>
      <c r="H7" s="7" t="inlineStr">
        <is>
          <t>Socket the sensor so it is swappable, not soldered in.</t>
        </is>
      </c>
    </row>
    <row r="8">
      <c r="A8" s="4" t="inlineStr">
        <is>
          <t>B. CORE — actuation</t>
        </is>
      </c>
      <c r="B8" s="15" t="n"/>
      <c r="C8" s="15" t="n"/>
      <c r="D8" s="15" t="n"/>
      <c r="E8" s="15" t="n"/>
      <c r="F8" s="15" t="n"/>
      <c r="G8" s="15" t="n"/>
      <c r="H8" s="16" t="n"/>
    </row>
    <row r="9">
      <c r="A9" s="6" t="n">
        <v>3</v>
      </c>
      <c r="B9" s="6" t="inlineStr">
        <is>
          <t>B</t>
        </is>
      </c>
      <c r="C9" s="6" t="inlineStr">
        <is>
          <t>L9110 driver module</t>
        </is>
      </c>
      <c r="D9" s="6" t="inlineStr">
        <is>
          <t>476</t>
        </is>
      </c>
      <c r="E9" s="6" t="n">
        <v>70</v>
      </c>
      <c r="F9" s="6" t="n">
        <v>1</v>
      </c>
      <c r="G9" s="6" t="n">
        <v>70</v>
      </c>
      <c r="H9" s="7" t="inlineStr">
        <is>
          <t>Fan switch. Accepts 3.3 V logic, takes 25 kHz PWM from GPIO16, carries the fan current off the GPIO.</t>
        </is>
      </c>
    </row>
    <row r="10">
      <c r="A10" s="6" t="n">
        <v>4</v>
      </c>
      <c r="B10" s="6" t="inlineStr">
        <is>
          <t>B</t>
        </is>
      </c>
      <c r="C10" s="6" t="inlineStr">
        <is>
          <t>2 CH opto relay module (5V)</t>
        </is>
      </c>
      <c r="D10" s="6" t="inlineStr">
        <is>
          <t>683</t>
        </is>
      </c>
      <c r="E10" s="6" t="n">
        <v>78</v>
      </c>
      <c r="F10" s="6" t="n">
        <v>1</v>
      </c>
      <c r="G10" s="6" t="n">
        <v>78</v>
      </c>
      <c r="H10" s="7" t="inlineStr">
        <is>
          <t>Heater on/off from GPIO17 (opto-isolated). 2nd channel = spare / mains-free bulb heater option.</t>
        </is>
      </c>
    </row>
    <row r="11">
      <c r="A11" s="6" t="n">
        <v>5</v>
      </c>
      <c r="B11" s="6" t="inlineStr">
        <is>
          <t>B</t>
        </is>
      </c>
      <c r="C11" s="6" t="inlineStr">
        <is>
          <t>3 inch CPU cooling fan 12V</t>
        </is>
      </c>
      <c r="D11" s="6" t="inlineStr">
        <is>
          <t>036</t>
        </is>
      </c>
      <c r="E11" s="6" t="n">
        <v>85</v>
      </c>
      <c r="F11" s="6" t="n">
        <v>1</v>
      </c>
      <c r="G11" s="6" t="n">
        <v>85</v>
      </c>
      <c r="H11" s="7" t="inlineStr">
        <is>
          <t>Ventilation actuator. Runs (slower) off 5 V too if you prefer a single rail.</t>
        </is>
      </c>
    </row>
    <row r="12">
      <c r="A12" s="6" t="n">
        <v>6</v>
      </c>
      <c r="B12" s="6" t="inlineStr">
        <is>
          <t>B</t>
        </is>
      </c>
      <c r="C12" s="6" t="inlineStr">
        <is>
          <t>Nichrome wire</t>
        </is>
      </c>
      <c r="D12" s="6" t="inlineStr">
        <is>
          <t>1132</t>
        </is>
      </c>
      <c r="E12" s="6" t="n">
        <v>90</v>
      </c>
      <c r="F12" s="6" t="n">
        <v>1</v>
      </c>
      <c r="G12" s="6" t="n">
        <v>90</v>
      </c>
      <c r="H12" s="7" t="inlineStr">
        <is>
          <t>Calibration heat source. Cut a length to a measured resistance, mount on standoffs in free air.</t>
        </is>
      </c>
    </row>
    <row r="13">
      <c r="A13" s="4" t="inlineStr">
        <is>
          <t>C. CORE — power + safety</t>
        </is>
      </c>
      <c r="B13" s="15" t="n"/>
      <c r="C13" s="15" t="n"/>
      <c r="D13" s="15" t="n"/>
      <c r="E13" s="15" t="n"/>
      <c r="F13" s="15" t="n"/>
      <c r="G13" s="15" t="n"/>
      <c r="H13" s="16" t="n"/>
    </row>
    <row r="14">
      <c r="A14" s="6" t="n">
        <v>7</v>
      </c>
      <c r="B14" s="6" t="inlineStr">
        <is>
          <t>C</t>
        </is>
      </c>
      <c r="C14" s="6" t="inlineStr">
        <is>
          <t>Toggle switch 3 pin</t>
        </is>
      </c>
      <c r="D14" s="6" t="inlineStr">
        <is>
          <t>923</t>
        </is>
      </c>
      <c r="E14" s="6" t="n">
        <v>12</v>
      </c>
      <c r="F14" s="6" t="n">
        <v>1</v>
      </c>
      <c r="G14" s="6" t="n">
        <v>12</v>
      </c>
      <c r="H14" s="7" t="inlineStr">
        <is>
          <t>SAFETY LAYER 0: in series with the actuator supply. Hardware kill no software can override.</t>
        </is>
      </c>
    </row>
    <row r="15">
      <c r="A15" s="6" t="n">
        <v>8</v>
      </c>
      <c r="B15" s="6" t="inlineStr">
        <is>
          <t>C</t>
        </is>
      </c>
      <c r="C15" s="6" t="inlineStr">
        <is>
          <t>12V 2AMPS adapter</t>
        </is>
      </c>
      <c r="D15" s="6" t="inlineStr">
        <is>
          <t>226</t>
        </is>
      </c>
      <c r="E15" s="6" t="n">
        <v>160</v>
      </c>
      <c r="F15" s="6" t="n">
        <v>1</v>
      </c>
      <c r="G15" s="6" t="n">
        <v>160</v>
      </c>
      <c r="H15" s="7" t="inlineStr">
        <is>
          <t>Actuator rail (fan + heater). ESP32 stays on USB.</t>
        </is>
      </c>
    </row>
    <row r="16">
      <c r="A16" s="6" t="n">
        <v>9</v>
      </c>
      <c r="B16" s="6" t="inlineStr">
        <is>
          <t>C</t>
        </is>
      </c>
      <c r="C16" s="6" t="inlineStr">
        <is>
          <t>DC power female screw socket</t>
        </is>
      </c>
      <c r="D16" s="6" t="inlineStr">
        <is>
          <t>916</t>
        </is>
      </c>
      <c r="E16" s="6" t="n">
        <v>20</v>
      </c>
      <c r="F16" s="6" t="n">
        <v>2</v>
      </c>
      <c r="G16" s="6" t="n">
        <v>40</v>
      </c>
      <c r="H16" s="7" t="inlineStr">
        <is>
          <t>Adapter barrel -&gt; screw terminals, no soldered pigtail.</t>
        </is>
      </c>
    </row>
    <row r="17">
      <c r="A17" s="6" t="n">
        <v>10</v>
      </c>
      <c r="B17" s="6" t="inlineStr">
        <is>
          <t>C</t>
        </is>
      </c>
      <c r="C17" s="6" t="inlineStr">
        <is>
          <t>Glass fuse 2A</t>
        </is>
      </c>
      <c r="D17" s="6" t="inlineStr">
        <is>
          <t>975</t>
        </is>
      </c>
      <c r="E17" s="6" t="n">
        <v>2</v>
      </c>
      <c r="F17" s="6" t="n">
        <v>2</v>
      </c>
      <c r="G17" s="6" t="n">
        <v>4</v>
      </c>
      <c r="H17" s="7" t="inlineStr">
        <is>
          <t>Inline on the actuator rail, ahead of the toggle switch.</t>
        </is>
      </c>
    </row>
    <row r="18">
      <c r="A18" s="6" t="n">
        <v>11</v>
      </c>
      <c r="B18" s="6" t="inlineStr">
        <is>
          <t>C</t>
        </is>
      </c>
      <c r="C18" s="6" t="inlineStr">
        <is>
          <t>2 pin terminal block</t>
        </is>
      </c>
      <c r="D18" s="6" t="inlineStr">
        <is>
          <t>953</t>
        </is>
      </c>
      <c r="E18" s="6" t="n">
        <v>6</v>
      </c>
      <c r="F18" s="6" t="n">
        <v>4</v>
      </c>
      <c r="G18" s="6" t="n">
        <v>24</v>
      </c>
      <c r="H18" s="7" t="inlineStr">
        <is>
          <t>Screw joints for fan/heater/supply legs.</t>
        </is>
      </c>
    </row>
    <row r="19">
      <c r="A19" s="6" t="n">
        <v>12</v>
      </c>
      <c r="B19" s="6" t="inlineStr">
        <is>
          <t>C</t>
        </is>
      </c>
      <c r="C19" s="6" t="inlineStr">
        <is>
          <t>Heat shrink tube 3 mm - 1 M</t>
        </is>
      </c>
      <c r="D19" s="6" t="inlineStr">
        <is>
          <t>1150</t>
        </is>
      </c>
      <c r="E19" s="6" t="n">
        <v>12</v>
      </c>
      <c r="F19" s="6" t="n">
        <v>1</v>
      </c>
      <c r="G19" s="6" t="n">
        <v>12</v>
      </c>
      <c r="H19" s="7" t="inlineStr">
        <is>
          <t>Insulate every heater-side joint.</t>
        </is>
      </c>
    </row>
    <row r="20">
      <c r="A20" s="6" t="n">
        <v>13</v>
      </c>
      <c r="B20" s="6" t="inlineStr">
        <is>
          <t>C</t>
        </is>
      </c>
      <c r="C20" s="6" t="inlineStr">
        <is>
          <t>V8 data cable (1 MTS)</t>
        </is>
      </c>
      <c r="D20" s="6" t="inlineStr">
        <is>
          <t>1111</t>
        </is>
      </c>
      <c r="E20" s="6" t="n">
        <v>50</v>
      </c>
      <c r="F20" s="6" t="n">
        <v>1</v>
      </c>
      <c r="G20" s="6" t="n">
        <v>50</v>
      </c>
      <c r="H20" s="7" t="inlineStr">
        <is>
          <t>Micro-USB: ESP32 flashing + power.</t>
        </is>
      </c>
    </row>
    <row r="21">
      <c r="A21" s="4" t="inlineStr">
        <is>
          <t>D. CORE — measurement tool</t>
        </is>
      </c>
      <c r="B21" s="15" t="n"/>
      <c r="C21" s="15" t="n"/>
      <c r="D21" s="15" t="n"/>
      <c r="E21" s="15" t="n"/>
      <c r="F21" s="15" t="n"/>
      <c r="G21" s="15" t="n"/>
      <c r="H21" s="16" t="n"/>
    </row>
    <row r="22">
      <c r="A22" s="6" t="n">
        <v>14</v>
      </c>
      <c r="B22" s="6" t="inlineStr">
        <is>
          <t>D</t>
        </is>
      </c>
      <c r="C22" s="6" t="inlineStr">
        <is>
          <t>Multimeter</t>
        </is>
      </c>
      <c r="D22" s="6" t="inlineStr">
        <is>
          <t>146</t>
        </is>
      </c>
      <c r="E22" s="6" t="n">
        <v>145</v>
      </c>
      <c r="F22" s="6" t="n">
        <v>1</v>
      </c>
      <c r="G22" s="6" t="n">
        <v>145</v>
      </c>
      <c r="H22" s="7" t="inlineStr">
        <is>
          <t>REQUIRED: run_calibration --power needs a MEASURED heater wattage (V and R), not a guess.</t>
        </is>
      </c>
    </row>
    <row r="23">
      <c r="A23" s="4" t="inlineStr">
        <is>
          <t>E. Recommended add-ons</t>
        </is>
      </c>
      <c r="B23" s="15" t="n"/>
      <c r="C23" s="15" t="n"/>
      <c r="D23" s="15" t="n"/>
      <c r="E23" s="15" t="n"/>
      <c r="F23" s="15" t="n"/>
      <c r="G23" s="15" t="n"/>
      <c r="H23" s="16" t="n"/>
    </row>
    <row r="24">
      <c r="A24" s="6" t="n">
        <v>15</v>
      </c>
      <c r="B24" s="6" t="inlineStr">
        <is>
          <t>E</t>
        </is>
      </c>
      <c r="C24" s="6" t="inlineStr">
        <is>
          <t>16X2 LCD with I2C - BLUE</t>
        </is>
      </c>
      <c r="D24" s="6" t="inlineStr">
        <is>
          <t>804</t>
        </is>
      </c>
      <c r="E24" s="6" t="n">
        <v>180</v>
      </c>
      <c r="F24" s="6" t="n">
        <v>1</v>
      </c>
      <c r="G24" s="6" t="n">
        <v>180</v>
      </c>
      <c r="H24" s="7" t="inlineStr">
        <is>
          <t>Local readout of temp/RH/fan state — demo-friendly when the dashboard is not on screen.</t>
        </is>
      </c>
    </row>
    <row r="25">
      <c r="A25" s="6" t="n">
        <v>16</v>
      </c>
      <c r="B25" s="6" t="inlineStr">
        <is>
          <t>E</t>
        </is>
      </c>
      <c r="C25" s="6" t="inlineStr">
        <is>
          <t>BMP280</t>
        </is>
      </c>
      <c r="D25" s="6" t="inlineStr">
        <is>
          <t>328</t>
        </is>
      </c>
      <c r="E25" s="6" t="n">
        <v>55</v>
      </c>
      <c r="F25" s="6" t="n">
        <v>1</v>
      </c>
      <c r="G25" s="6" t="n">
        <v>55</v>
      </c>
      <c r="H25" s="7" t="inlineStr">
        <is>
          <t>Second independent temperature channel to cross-check DHT22 drift.</t>
        </is>
      </c>
    </row>
    <row r="26">
      <c r="A26" s="6" t="n">
        <v>17</v>
      </c>
      <c r="B26" s="6" t="inlineStr">
        <is>
          <t>E</t>
        </is>
      </c>
      <c r="C26" s="6" t="inlineStr">
        <is>
          <t>PIR SENSOR</t>
        </is>
      </c>
      <c r="D26" s="6" t="inlineStr">
        <is>
          <t>272</t>
        </is>
      </c>
      <c r="E26" s="6" t="n">
        <v>65</v>
      </c>
      <c r="F26" s="6" t="n">
        <v>1</v>
      </c>
      <c r="G26" s="6" t="n">
        <v>65</v>
      </c>
      <c r="H26" s="7" t="inlineStr">
        <is>
          <t>Occupancy signal for the zone (feeds occupant-side logic).</t>
        </is>
      </c>
    </row>
    <row r="27">
      <c r="A27" s="6" t="n">
        <v>18</v>
      </c>
      <c r="B27" s="6" t="inlineStr">
        <is>
          <t>E</t>
        </is>
      </c>
      <c r="C27" s="6" t="inlineStr">
        <is>
          <t>BH1750 LIGHT SENSOR</t>
        </is>
      </c>
      <c r="D27" s="6" t="inlineStr">
        <is>
          <t>295</t>
        </is>
      </c>
      <c r="E27" s="6" t="n">
        <v>120</v>
      </c>
      <c r="F27" s="6" t="n">
        <v>1</v>
      </c>
      <c r="G27" s="6" t="n">
        <v>120</v>
      </c>
      <c r="H27" s="7" t="inlineStr">
        <is>
          <t>Daylight/solar-gain context for the thermal model.</t>
        </is>
      </c>
    </row>
    <row r="28">
      <c r="A28" s="6" t="n">
        <v>19</v>
      </c>
      <c r="B28" s="6" t="inlineStr">
        <is>
          <t>E</t>
        </is>
      </c>
      <c r="C28" s="6" t="inlineStr">
        <is>
          <t>MB102 BREADBOARD SUPPLY</t>
        </is>
      </c>
      <c r="D28" s="6" t="inlineStr">
        <is>
          <t>590</t>
        </is>
      </c>
      <c r="E28" s="6" t="n">
        <v>80</v>
      </c>
      <c r="F28" s="6" t="n">
        <v>1</v>
      </c>
      <c r="G28" s="6" t="n">
        <v>80</v>
      </c>
      <c r="H28" s="7" t="inlineStr">
        <is>
          <t>Clean 5 V / 3.3 V rails from the 12 V adapter.</t>
        </is>
      </c>
    </row>
    <row r="29">
      <c r="A29" s="6" t="n">
        <v>20</v>
      </c>
      <c r="B29" s="6" t="inlineStr">
        <is>
          <t>E</t>
        </is>
      </c>
      <c r="C29" s="6" t="inlineStr">
        <is>
          <t>MICRO SD CARD READER</t>
        </is>
      </c>
      <c r="D29" s="6" t="inlineStr">
        <is>
          <t>340</t>
        </is>
      </c>
      <c r="E29" s="6" t="n">
        <v>55</v>
      </c>
      <c r="F29" s="6" t="n">
        <v>1</v>
      </c>
      <c r="G29" s="6" t="n">
        <v>55</v>
      </c>
      <c r="H29" s="7" t="inlineStr">
        <is>
          <t>On-node logging fallback if WiFi drops during a 65-min calibration run.</t>
        </is>
      </c>
    </row>
    <row r="30">
      <c r="A30" s="6" t="n">
        <v>21</v>
      </c>
      <c r="B30" s="6" t="inlineStr">
        <is>
          <t>E</t>
        </is>
      </c>
      <c r="C30" s="6" t="inlineStr">
        <is>
          <t>PLASTIC BOX 55</t>
        </is>
      </c>
      <c r="D30" s="6" t="inlineStr">
        <is>
          <t>1163</t>
        </is>
      </c>
      <c r="E30" s="6" t="n">
        <v>43</v>
      </c>
      <c r="F30" s="6" t="n">
        <v>1</v>
      </c>
      <c r="G30" s="6" t="n">
        <v>43</v>
      </c>
      <c r="H30" s="7" t="inlineStr">
        <is>
          <t>Electronics enclosure inside the shoebox zone.</t>
        </is>
      </c>
    </row>
    <row r="31">
      <c r="A31" s="6" t="n">
        <v>22</v>
      </c>
      <c r="B31" s="6" t="inlineStr">
        <is>
          <t>E</t>
        </is>
      </c>
      <c r="C31" s="6" t="inlineStr">
        <is>
          <t>INSULATION TAPE BLACK</t>
        </is>
      </c>
      <c r="D31" s="6" t="inlineStr">
        <is>
          <t>093</t>
        </is>
      </c>
      <c r="E31" s="6" t="n">
        <v>14</v>
      </c>
      <c r="F31" s="6" t="n">
        <v>1</v>
      </c>
      <c r="G31" s="6" t="n">
        <v>14</v>
      </c>
      <c r="H31" s="7" t="inlineStr">
        <is>
          <t>General insulation.</t>
        </is>
      </c>
    </row>
    <row r="32">
      <c r="A32" s="6" t="n">
        <v>23</v>
      </c>
      <c r="B32" s="6" t="inlineStr">
        <is>
          <t>E</t>
        </is>
      </c>
      <c r="C32" s="6" t="inlineStr">
        <is>
          <t>4 INCH CABLE TIE (5 PCS)</t>
        </is>
      </c>
      <c r="D32" s="6" t="inlineStr">
        <is>
          <t>1131</t>
        </is>
      </c>
      <c r="E32" s="6" t="n">
        <v>13</v>
      </c>
      <c r="F32" s="6" t="n">
        <v>1</v>
      </c>
      <c r="G32" s="6" t="n">
        <v>13</v>
      </c>
      <c r="H32" s="7" t="inlineStr">
        <is>
          <t>Strain relief; keeps wiring off the heater.</t>
        </is>
      </c>
    </row>
    <row r="33">
      <c r="A33" s="4" t="inlineStr">
        <is>
          <t>F. Alternatives (pick instead of a core line)</t>
        </is>
      </c>
      <c r="B33" s="15" t="n"/>
      <c r="C33" s="15" t="n"/>
      <c r="D33" s="15" t="n"/>
      <c r="E33" s="15" t="n"/>
      <c r="F33" s="15" t="n"/>
      <c r="G33" s="15" t="n"/>
      <c r="H33" s="16" t="n"/>
    </row>
    <row r="34">
      <c r="A34" s="8" t="n">
        <v>24</v>
      </c>
      <c r="B34" s="8" t="inlineStr">
        <is>
          <t>F</t>
        </is>
      </c>
      <c r="C34" s="8" t="inlineStr">
        <is>
          <t>GY-21 HTU21</t>
        </is>
      </c>
      <c r="D34" s="8" t="inlineStr">
        <is>
          <t>304</t>
        </is>
      </c>
      <c r="E34" s="8" t="n">
        <v>280</v>
      </c>
      <c r="F34" s="8" t="n">
        <v>0</v>
      </c>
      <c r="G34" s="8" t="n">
        <v>0</v>
      </c>
      <c r="H34" s="9" t="inlineStr">
        <is>
          <t>Closest catalogue part to the SHT31 the README prefers. Buy INSTEAD of DHT22 if accuracy matters.</t>
        </is>
      </c>
    </row>
    <row r="35">
      <c r="A35" s="8" t="n">
        <v>25</v>
      </c>
      <c r="B35" s="8" t="inlineStr">
        <is>
          <t>F</t>
        </is>
      </c>
      <c r="C35" s="8" t="inlineStr">
        <is>
          <t>DHT11</t>
        </is>
      </c>
      <c r="D35" s="8" t="inlineStr">
        <is>
          <t>281</t>
        </is>
      </c>
      <c r="E35" s="8" t="n">
        <v>85</v>
      </c>
      <c r="F35" s="8" t="n">
        <v>0</v>
      </c>
      <c r="G35" s="8" t="n">
        <v>0</v>
      </c>
      <c r="H35" s="9" t="inlineStr">
        <is>
          <t>Cheapest sensor. +/-2 C, 1 C resolution — too coarse for R/C fitting. Backup only.</t>
        </is>
      </c>
    </row>
    <row r="36">
      <c r="A36" s="8" t="n">
        <v>26</v>
      </c>
      <c r="B36" s="8" t="inlineStr">
        <is>
          <t>F</t>
        </is>
      </c>
      <c r="C36" s="8" t="inlineStr">
        <is>
          <t>DS18B20 WATER PROOF</t>
        </is>
      </c>
      <c r="D36" s="8" t="inlineStr">
        <is>
          <t>301</t>
        </is>
      </c>
      <c r="E36" s="8" t="n">
        <v>85</v>
      </c>
      <c r="F36" s="8" t="n">
        <v>0</v>
      </c>
      <c r="G36" s="8" t="n">
        <v>0</v>
      </c>
      <c r="H36" s="9" t="inlineStr">
        <is>
          <t>Surface/probe temperature points if you want wall vs air temps.</t>
        </is>
      </c>
    </row>
    <row r="37">
      <c r="A37" s="8" t="n">
        <v>27</v>
      </c>
      <c r="B37" s="8" t="inlineStr">
        <is>
          <t>F</t>
        </is>
      </c>
      <c r="C37" s="8" t="inlineStr">
        <is>
          <t>IRF Z44 MOSFET</t>
        </is>
      </c>
      <c r="D37" s="8" t="inlineStr">
        <is>
          <t>902</t>
        </is>
      </c>
      <c r="E37" s="8" t="n">
        <v>35</v>
      </c>
      <c r="F37" s="8" t="n">
        <v>0</v>
      </c>
      <c r="G37" s="8" t="n">
        <v>0</v>
      </c>
      <c r="H37" s="9" t="inlineStr">
        <is>
          <t>Discrete low-side switch instead of the L9110. NOT fully logic-level at 3.3 V — needs a gate driver or a 5 V level shift.</t>
        </is>
      </c>
    </row>
    <row r="38">
      <c r="A38" s="8" t="n">
        <v>28</v>
      </c>
      <c r="B38" s="8" t="inlineStr">
        <is>
          <t>F</t>
        </is>
      </c>
      <c r="C38" s="8" t="inlineStr">
        <is>
          <t>PELTIER TEC-12706</t>
        </is>
      </c>
      <c r="D38" s="8" t="inlineStr">
        <is>
          <t>561</t>
        </is>
      </c>
      <c r="E38" s="8" t="n">
        <v>170</v>
      </c>
      <c r="F38" s="8" t="n">
        <v>0</v>
      </c>
      <c r="G38" s="8" t="n">
        <v>0</v>
      </c>
      <c r="H38" s="9" t="inlineStr">
        <is>
          <t>Alternative heat source (and can cool if reversed). Draws several amps — needs a bigger adapter.</t>
        </is>
      </c>
    </row>
    <row r="39">
      <c r="A39" s="8" t="n">
        <v>29</v>
      </c>
      <c r="B39" s="8" t="inlineStr">
        <is>
          <t>F</t>
        </is>
      </c>
      <c r="C39" s="8" t="inlineStr">
        <is>
          <t>BULB HOLDER + 2 PIN PLUG TOP</t>
        </is>
      </c>
      <c r="D39" s="8" t="inlineStr">
        <is>
          <t>1157 + 1160</t>
        </is>
      </c>
      <c r="E39" s="8" t="n">
        <v>45</v>
      </c>
      <c r="F39" s="8" t="n">
        <v>0</v>
      </c>
      <c r="G39" s="8" t="n">
        <v>0</v>
      </c>
      <c r="H39" s="9" t="inlineStr">
        <is>
          <t>Filament-bulb heater variant. MAINS — only with adult supervision and an enclosure.</t>
        </is>
      </c>
    </row>
    <row r="40">
      <c r="A40" s="8" t="n">
        <v>30</v>
      </c>
      <c r="B40" s="8" t="inlineStr">
        <is>
          <t>F</t>
        </is>
      </c>
      <c r="C40" s="8" t="inlineStr">
        <is>
          <t>5V 2AMPS adapter</t>
        </is>
      </c>
      <c r="D40" s="8" t="inlineStr">
        <is>
          <t>222</t>
        </is>
      </c>
      <c r="E40" s="8" t="n">
        <v>140</v>
      </c>
      <c r="F40" s="8" t="n">
        <v>0</v>
      </c>
      <c r="G40" s="8" t="n">
        <v>0</v>
      </c>
      <c r="H40" s="9" t="inlineStr">
        <is>
          <t>If you run fan + heater on a single 5 V rail instead of 12 V.</t>
        </is>
      </c>
    </row>
    <row r="41">
      <c r="A41" s="8" t="n">
        <v>31</v>
      </c>
      <c r="B41" s="8" t="inlineStr">
        <is>
          <t>F</t>
        </is>
      </c>
      <c r="C41" s="8" t="inlineStr">
        <is>
          <t>1 CH OPTO RELAY MOD (5V)</t>
        </is>
      </c>
      <c r="D41" s="8" t="inlineStr">
        <is>
          <t>682</t>
        </is>
      </c>
      <c r="E41" s="8" t="n">
        <v>60</v>
      </c>
      <c r="F41" s="8" t="n">
        <v>0</v>
      </c>
      <c r="G41" s="8" t="n">
        <v>0</v>
      </c>
      <c r="H41" s="9" t="inlineStr">
        <is>
          <t>If you only ever need the heater channel.</t>
        </is>
      </c>
    </row>
    <row r="42">
      <c r="A42" s="4" t="inlineStr">
        <is>
          <t>G. Tools (skip if you already own them)</t>
        </is>
      </c>
      <c r="B42" s="15" t="n"/>
      <c r="C42" s="15" t="n"/>
      <c r="D42" s="15" t="n"/>
      <c r="E42" s="15" t="n"/>
      <c r="F42" s="15" t="n"/>
      <c r="G42" s="15" t="n"/>
      <c r="H42" s="16" t="n"/>
    </row>
    <row r="43">
      <c r="A43" s="8" t="n">
        <v>32</v>
      </c>
      <c r="B43" s="8" t="inlineStr">
        <is>
          <t>G</t>
        </is>
      </c>
      <c r="C43" s="8" t="inlineStr">
        <is>
          <t>NOEL 25 W SOLDERING IRON</t>
        </is>
      </c>
      <c r="D43" s="8" t="inlineStr">
        <is>
          <t>062</t>
        </is>
      </c>
      <c r="E43" s="8" t="n">
        <v>120</v>
      </c>
      <c r="F43" s="8" t="n">
        <v>0</v>
      </c>
      <c r="G43" s="8" t="n">
        <v>0</v>
      </c>
      <c r="H43" s="9" t="inlineStr">
        <is>
          <t>Only needed if you solder headers/leads.</t>
        </is>
      </c>
    </row>
    <row r="44">
      <c r="A44" s="8" t="n">
        <v>33</v>
      </c>
      <c r="B44" s="8" t="inlineStr">
        <is>
          <t>G</t>
        </is>
      </c>
      <c r="C44" s="8" t="inlineStr">
        <is>
          <t>HIFLO LEAD 50 GRAMS</t>
        </is>
      </c>
      <c r="D44" s="8" t="inlineStr">
        <is>
          <t>070</t>
        </is>
      </c>
      <c r="E44" s="8" t="n">
        <v>145</v>
      </c>
      <c r="F44" s="8" t="n">
        <v>0</v>
      </c>
      <c r="G44" s="8" t="n">
        <v>0</v>
      </c>
      <c r="H44" s="9" t="inlineStr">
        <is>
          <t>Solder.</t>
        </is>
      </c>
    </row>
    <row r="45">
      <c r="A45" s="8" t="n">
        <v>34</v>
      </c>
      <c r="B45" s="8" t="inlineStr">
        <is>
          <t>G</t>
        </is>
      </c>
      <c r="C45" s="8" t="inlineStr">
        <is>
          <t>AGNI SOLDERING FLUX</t>
        </is>
      </c>
      <c r="D45" s="8" t="inlineStr">
        <is>
          <t>069</t>
        </is>
      </c>
      <c r="E45" s="8" t="n">
        <v>20</v>
      </c>
      <c r="F45" s="8" t="n">
        <v>0</v>
      </c>
      <c r="G45" s="8" t="n">
        <v>0</v>
      </c>
      <c r="H45" s="9" t="inlineStr">
        <is>
          <t>Solder.</t>
        </is>
      </c>
    </row>
    <row r="46">
      <c r="A46" s="8" t="n">
        <v>35</v>
      </c>
      <c r="B46" s="8" t="inlineStr">
        <is>
          <t>G</t>
        </is>
      </c>
      <c r="C46" s="8" t="inlineStr">
        <is>
          <t>STRIPPER (MULTITEC)</t>
        </is>
      </c>
      <c r="D46" s="8" t="inlineStr">
        <is>
          <t>089</t>
        </is>
      </c>
      <c r="E46" s="8" t="n">
        <v>68</v>
      </c>
      <c r="F46" s="8" t="n">
        <v>0</v>
      </c>
      <c r="G46" s="8" t="n">
        <v>0</v>
      </c>
      <c r="H46" s="9" t="inlineStr">
        <is>
          <t>Wire stripping.</t>
        </is>
      </c>
    </row>
    <row r="47">
      <c r="A47" s="8" t="n">
        <v>36</v>
      </c>
      <c r="B47" s="8" t="inlineStr">
        <is>
          <t>G</t>
        </is>
      </c>
      <c r="C47" s="8" t="inlineStr">
        <is>
          <t>NIPPER (MULTI TEC)</t>
        </is>
      </c>
      <c r="D47" s="8" t="inlineStr">
        <is>
          <t>090</t>
        </is>
      </c>
      <c r="E47" s="8" t="n">
        <v>88</v>
      </c>
      <c r="F47" s="8" t="n">
        <v>0</v>
      </c>
      <c r="G47" s="8" t="n">
        <v>0</v>
      </c>
      <c r="H47" s="9" t="inlineStr">
        <is>
          <t>Wire cutting.</t>
        </is>
      </c>
    </row>
    <row r="48">
      <c r="C48" s="10" t="inlineStr">
        <is>
          <t>SUBTOTAL (core + recommended, qty &gt; 0)</t>
        </is>
      </c>
      <c r="G48" s="11">
        <f>SUM(G5:G47)</f>
        <v/>
      </c>
    </row>
    <row r="49">
      <c r="C49" t="inlineStr">
        <is>
          <t>Courier (ask before ordering — depends on location)</t>
        </is>
      </c>
      <c r="G49" t="n">
        <v>100</v>
      </c>
    </row>
    <row r="50">
      <c r="C50" s="10" t="inlineStr">
        <is>
          <t>GRAND TOTAL</t>
        </is>
      </c>
      <c r="G50" s="11">
        <f>G48+G49</f>
        <v/>
      </c>
    </row>
  </sheetData>
  <mergeCells count="9">
    <mergeCell ref="A21:H21"/>
    <mergeCell ref="A1:G1"/>
    <mergeCell ref="A42:H42"/>
    <mergeCell ref="A13:H13"/>
    <mergeCell ref="A2:G2"/>
    <mergeCell ref="A33:H33"/>
    <mergeCell ref="A5:H5"/>
    <mergeCell ref="A23:H23"/>
    <mergeCell ref="A8:H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cols>
    <col width="34" customWidth="1" min="1" max="1"/>
    <col width="13" customWidth="1" min="2" max="2"/>
    <col width="9" customWidth="1" min="3" max="3"/>
    <col width="7" customWidth="1" min="4" max="4"/>
    <col width="10" customWidth="1" min="5" max="5"/>
    <col width="88" customWidth="1" min="6" max="6"/>
  </cols>
  <sheetData>
    <row r="1">
      <c r="A1" s="1" t="inlineStr">
        <is>
          <t>Minimum build — everything the frozen contract and the calibration run actually require</t>
        </is>
      </c>
    </row>
    <row r="2">
      <c r="A2" s="2" t="inlineStr">
        <is>
          <t>Nothing here is optional. Cutting any of these changes what the node can demonstrate.</t>
        </is>
      </c>
    </row>
    <row r="4">
      <c r="A4" s="17" t="inlineStr">
        <is>
          <t>KEEP — minimum viable node</t>
        </is>
      </c>
    </row>
    <row r="5">
      <c r="A5" s="13" t="inlineStr">
        <is>
          <t>Item</t>
        </is>
      </c>
      <c r="B5" s="13" t="inlineStr">
        <is>
          <t>Code</t>
        </is>
      </c>
      <c r="C5" s="13" t="inlineStr">
        <is>
          <t>Rate</t>
        </is>
      </c>
      <c r="D5" s="13" t="inlineStr">
        <is>
          <t>Qty</t>
        </is>
      </c>
      <c r="E5" s="13" t="inlineStr">
        <is>
          <t>Total</t>
        </is>
      </c>
      <c r="F5" s="13" t="inlineStr">
        <is>
          <t>Why it cannot go</t>
        </is>
      </c>
    </row>
    <row r="6">
      <c r="A6" s="18" t="inlineStr">
        <is>
          <t>DHT22 temp + humidity</t>
        </is>
      </c>
      <c r="B6" s="18" t="inlineStr">
        <is>
          <t>282</t>
        </is>
      </c>
      <c r="C6" s="18" t="n">
        <v>220</v>
      </c>
      <c r="D6" s="18" t="n">
        <v>1</v>
      </c>
      <c r="E6" s="18" t="n">
        <v>220</v>
      </c>
      <c r="F6" s="19" t="inlineStr">
        <is>
          <t>The reading the whole /api/hw/reading contract is built on. No sensor, no node.</t>
        </is>
      </c>
    </row>
    <row r="7">
      <c r="A7" s="18" t="inlineStr">
        <is>
          <t>L9110 driver module</t>
        </is>
      </c>
      <c r="B7" s="18" t="inlineStr">
        <is>
          <t>476</t>
        </is>
      </c>
      <c r="C7" s="18" t="n">
        <v>70</v>
      </c>
      <c r="D7" s="18" t="n">
        <v>1</v>
      </c>
      <c r="E7" s="18" t="n">
        <v>70</v>
      </c>
      <c r="F7" s="19" t="inlineStr">
        <is>
          <t>ONE module drives BOTH actuators: channel A = fan (PWM, GPIO16), channel B = heater (on/off, GPIO17). Replaces the relay module entirely.</t>
        </is>
      </c>
    </row>
    <row r="8">
      <c r="A8" s="18" t="inlineStr">
        <is>
          <t>3 inch CPU cooling fan 12V</t>
        </is>
      </c>
      <c r="B8" s="18" t="inlineStr">
        <is>
          <t>036</t>
        </is>
      </c>
      <c r="C8" s="18" t="n">
        <v>85</v>
      </c>
      <c r="D8" s="18" t="n">
        <v>1</v>
      </c>
      <c r="E8" s="18" t="n">
        <v>85</v>
      </c>
      <c r="F8" s="19" t="inlineStr">
        <is>
          <t>The ventilation actuator. It is the thing the optimizer commands.</t>
        </is>
      </c>
    </row>
    <row r="9">
      <c r="A9" s="18" t="inlineStr">
        <is>
          <t>Nichrome wire</t>
        </is>
      </c>
      <c r="B9" s="18" t="inlineStr">
        <is>
          <t>1132</t>
        </is>
      </c>
      <c r="C9" s="18" t="n">
        <v>90</v>
      </c>
      <c r="D9" s="18" t="n">
        <v>1</v>
      </c>
      <c r="E9" s="18" t="n">
        <v>90</v>
      </c>
      <c r="F9" s="19" t="inlineStr">
        <is>
          <t>Step-input heat source. Without it there is no R/C fit and no calibration overlay.</t>
        </is>
      </c>
    </row>
    <row r="10">
      <c r="A10" s="18" t="inlineStr">
        <is>
          <t>Toggle switch 3 pin</t>
        </is>
      </c>
      <c r="B10" s="18" t="inlineStr">
        <is>
          <t>923</t>
        </is>
      </c>
      <c r="C10" s="18" t="n">
        <v>12</v>
      </c>
      <c r="D10" s="18" t="n">
        <v>1</v>
      </c>
      <c r="E10" s="18" t="n">
        <v>12</v>
      </c>
      <c r="F10" s="19" t="inlineStr">
        <is>
          <t>Safety layer 0. Do not cut this one.</t>
        </is>
      </c>
    </row>
    <row r="11">
      <c r="A11" s="18" t="inlineStr">
        <is>
          <t>Glass fuse 2A</t>
        </is>
      </c>
      <c r="B11" s="18" t="inlineStr">
        <is>
          <t>975</t>
        </is>
      </c>
      <c r="C11" s="18" t="n">
        <v>2</v>
      </c>
      <c r="D11" s="18" t="n">
        <v>2</v>
      </c>
      <c r="E11" s="18" t="n">
        <v>4</v>
      </c>
      <c r="F11" s="19" t="inlineStr">
        <is>
          <t>Rs 4 of insurance on a rail feeding a heater.</t>
        </is>
      </c>
    </row>
    <row r="12">
      <c r="A12" s="18" t="inlineStr">
        <is>
          <t>2 pin terminal block</t>
        </is>
      </c>
      <c r="B12" s="18" t="inlineStr">
        <is>
          <t>953</t>
        </is>
      </c>
      <c r="C12" s="18" t="n">
        <v>6</v>
      </c>
      <c r="D12" s="18" t="n">
        <v>2</v>
      </c>
      <c r="E12" s="18" t="n">
        <v>12</v>
      </c>
      <c r="F12" s="19" t="inlineStr">
        <is>
          <t>Screw joints on the heater legs instead of twisted wire.</t>
        </is>
      </c>
    </row>
    <row r="13">
      <c r="D13" s="10" t="inlineStr">
        <is>
          <t>SUBTOTAL</t>
        </is>
      </c>
      <c r="E13" s="11">
        <f>SUM(E6:E12)</f>
        <v/>
      </c>
    </row>
    <row r="16">
      <c r="A16" s="17" t="inlineStr">
        <is>
          <t>DROP — and what you give up</t>
        </is>
      </c>
    </row>
    <row r="17">
      <c r="A17" s="13" t="inlineStr">
        <is>
          <t>Item</t>
        </is>
      </c>
      <c r="B17" s="13" t="inlineStr">
        <is>
          <t>Code</t>
        </is>
      </c>
      <c r="C17" s="13" t="inlineStr">
        <is>
          <t>Saves</t>
        </is>
      </c>
      <c r="D17" s="13" t="inlineStr"/>
      <c r="E17" s="13" t="inlineStr"/>
      <c r="F17" s="13" t="inlineStr">
        <is>
          <t>What you give up</t>
        </is>
      </c>
    </row>
    <row r="18">
      <c r="A18" s="20" t="inlineStr">
        <is>
          <t>2 CH opto relay module (5V)</t>
        </is>
      </c>
      <c r="B18" s="20" t="inlineStr">
        <is>
          <t>683</t>
        </is>
      </c>
      <c r="C18" s="20" t="n">
        <v>78</v>
      </c>
      <c r="D18" s="20" t="inlineStr"/>
      <c r="E18" s="20" t="inlineStr"/>
      <c r="F18" s="9" t="inlineStr">
        <is>
          <t>Use the L9110's second channel for the heater. Only buy the relay if your heater element draws more than ~0.8 A.</t>
        </is>
      </c>
    </row>
    <row r="19">
      <c r="A19" s="20" t="inlineStr">
        <is>
          <t>Multimeter</t>
        </is>
      </c>
      <c r="B19" s="20" t="inlineStr">
        <is>
          <t>146</t>
        </is>
      </c>
      <c r="C19" s="20" t="n">
        <v>145</v>
      </c>
      <c r="D19" s="20" t="inlineStr"/>
      <c r="E19" s="20" t="inlineStr"/>
      <c r="F19" s="9" t="inlineStr">
        <is>
          <t>Borrow one. But you MUST measure heater V and R once — run_calibration --power takes a measured wattage, and a guess corrupts the R/C fit.</t>
        </is>
      </c>
    </row>
    <row r="20">
      <c r="A20" s="20" t="inlineStr">
        <is>
          <t>12V 2AMPS adapter</t>
        </is>
      </c>
      <c r="B20" s="20" t="inlineStr">
        <is>
          <t>226</t>
        </is>
      </c>
      <c r="C20" s="20" t="n">
        <v>160</v>
      </c>
      <c r="D20" s="20" t="inlineStr"/>
      <c r="E20" s="20" t="inlineStr"/>
      <c r="F20" s="9" t="inlineStr">
        <is>
          <t>Skip if you own any 5 V 2 A phone charger. The 12 V fan spins slower at 5 V — fine, the optimizer only needs three distinguishable levels.</t>
        </is>
      </c>
    </row>
    <row r="21">
      <c r="A21" s="20" t="inlineStr">
        <is>
          <t>V8 data cable</t>
        </is>
      </c>
      <c r="B21" s="20" t="inlineStr">
        <is>
          <t>1111</t>
        </is>
      </c>
      <c r="C21" s="20" t="n">
        <v>50</v>
      </c>
      <c r="D21" s="20" t="inlineStr"/>
      <c r="E21" s="20" t="inlineStr"/>
      <c r="F21" s="9" t="inlineStr">
        <is>
          <t>You almost certainly already own a micro-USB cable.</t>
        </is>
      </c>
    </row>
    <row r="22">
      <c r="A22" s="20" t="inlineStr">
        <is>
          <t>DC power female screw socket</t>
        </is>
      </c>
      <c r="B22" s="20" t="inlineStr">
        <is>
          <t>916</t>
        </is>
      </c>
      <c r="C22" s="20" t="n">
        <v>20</v>
      </c>
      <c r="D22" s="20" t="inlineStr"/>
      <c r="E22" s="20" t="inlineStr"/>
      <c r="F22" s="9" t="inlineStr">
        <is>
          <t>Only needed if you refuse to cut the adapter's barrel plug off.</t>
        </is>
      </c>
    </row>
    <row r="23">
      <c r="A23" s="20" t="inlineStr">
        <is>
          <t>Female headers</t>
        </is>
      </c>
      <c r="B23" s="20" t="inlineStr">
        <is>
          <t>909</t>
        </is>
      </c>
      <c r="C23" s="20" t="n">
        <v>9</v>
      </c>
      <c r="D23" s="20" t="inlineStr"/>
      <c r="E23" s="20" t="inlineStr"/>
      <c r="F23" s="9" t="inlineStr">
        <is>
          <t>Only if you want the sensor swappable rather than soldered.</t>
        </is>
      </c>
    </row>
    <row r="24">
      <c r="A24" s="20" t="inlineStr">
        <is>
          <t>Heat shrink tube 3 mm</t>
        </is>
      </c>
      <c r="B24" s="20" t="inlineStr">
        <is>
          <t>1150</t>
        </is>
      </c>
      <c r="C24" s="20" t="n">
        <v>12</v>
      </c>
      <c r="D24" s="20" t="inlineStr"/>
      <c r="E24" s="20" t="inlineStr"/>
      <c r="F24" s="9" t="inlineStr">
        <is>
          <t>Insulation tape does the same job for a bench rig.</t>
        </is>
      </c>
    </row>
    <row r="25">
      <c r="A25" s="20" t="inlineStr">
        <is>
          <t>16X2 LCD with I2C</t>
        </is>
      </c>
      <c r="B25" s="20" t="inlineStr">
        <is>
          <t>804</t>
        </is>
      </c>
      <c r="C25" s="20" t="n">
        <v>180</v>
      </c>
      <c r="D25" s="20" t="inlineStr"/>
      <c r="E25" s="20" t="inlineStr"/>
      <c r="F25" s="9" t="inlineStr">
        <is>
          <t>The dashboard already shows everything. Pure demo garnish.</t>
        </is>
      </c>
    </row>
    <row r="26">
      <c r="A26" s="20" t="inlineStr">
        <is>
          <t>BMP280</t>
        </is>
      </c>
      <c r="B26" s="20" t="inlineStr">
        <is>
          <t>328</t>
        </is>
      </c>
      <c r="C26" s="20" t="n">
        <v>55</v>
      </c>
      <c r="D26" s="20" t="inlineStr"/>
      <c r="E26" s="20" t="inlineStr"/>
      <c r="F26" s="9" t="inlineStr">
        <is>
          <t>Nice cross-check on DHT22 drift, but the contract has one temp field.</t>
        </is>
      </c>
    </row>
    <row r="27">
      <c r="A27" s="20" t="inlineStr">
        <is>
          <t>PIR SENSOR</t>
        </is>
      </c>
      <c r="B27" s="20" t="inlineStr">
        <is>
          <t>272</t>
        </is>
      </c>
      <c r="C27" s="20" t="n">
        <v>65</v>
      </c>
      <c r="D27" s="20" t="inlineStr"/>
      <c r="E27" s="20" t="inlineStr"/>
      <c r="F27" s="9" t="inlineStr">
        <is>
          <t>Occupancy is simulated on the server side today.</t>
        </is>
      </c>
    </row>
    <row r="28">
      <c r="A28" s="20" t="inlineStr">
        <is>
          <t>BH1750 LIGHT SENSOR</t>
        </is>
      </c>
      <c r="B28" s="20" t="inlineStr">
        <is>
          <t>295</t>
        </is>
      </c>
      <c r="C28" s="20" t="n">
        <v>120</v>
      </c>
      <c r="D28" s="20" t="inlineStr"/>
      <c r="E28" s="20" t="inlineStr"/>
      <c r="F28" s="9" t="inlineStr">
        <is>
          <t>Solar gain is not in the thermal model.</t>
        </is>
      </c>
    </row>
    <row r="29">
      <c r="A29" s="20" t="inlineStr">
        <is>
          <t>MB102 BREADBOARD SUPPLY</t>
        </is>
      </c>
      <c r="B29" s="20" t="inlineStr">
        <is>
          <t>590</t>
        </is>
      </c>
      <c r="C29" s="20" t="n">
        <v>80</v>
      </c>
      <c r="D29" s="20" t="inlineStr"/>
      <c r="E29" s="20" t="inlineStr"/>
      <c r="F29" s="9" t="inlineStr">
        <is>
          <t>The adapter feeds the actuators directly; ESP32 is USB-powered.</t>
        </is>
      </c>
    </row>
    <row r="30">
      <c r="A30" s="20" t="inlineStr">
        <is>
          <t>MICRO SD CARD READER</t>
        </is>
      </c>
      <c r="B30" s="20" t="inlineStr">
        <is>
          <t>340</t>
        </is>
      </c>
      <c r="C30" s="20" t="n">
        <v>55</v>
      </c>
      <c r="D30" s="20" t="inlineStr"/>
      <c r="E30" s="20" t="inlineStr"/>
      <c r="F30" s="9" t="inlineStr">
        <is>
          <t>The gateway logs the calibration run. Only worth it if your WiFi is unreliable.</t>
        </is>
      </c>
    </row>
    <row r="31">
      <c r="A31" s="20" t="inlineStr">
        <is>
          <t>PLASTIC BOX 55</t>
        </is>
      </c>
      <c r="B31" s="20" t="inlineStr">
        <is>
          <t>1163</t>
        </is>
      </c>
      <c r="C31" s="20" t="n">
        <v>43</v>
      </c>
      <c r="D31" s="20" t="inlineStr"/>
      <c r="E31" s="20" t="inlineStr"/>
      <c r="F31" s="9" t="inlineStr">
        <is>
          <t>The shoebox IS the enclosure.</t>
        </is>
      </c>
    </row>
    <row r="32">
      <c r="A32" s="20" t="inlineStr">
        <is>
          <t>INSULATION TAPE / CABLE TIES</t>
        </is>
      </c>
      <c r="B32" s="20" t="inlineStr">
        <is>
          <t>093 / 1131</t>
        </is>
      </c>
      <c r="C32" s="20" t="n">
        <v>27</v>
      </c>
      <c r="D32" s="20" t="inlineStr"/>
      <c r="E32" s="20" t="inlineStr"/>
      <c r="F32" s="9" t="inlineStr">
        <is>
          <t>Buy if you have none in the house.</t>
        </is>
      </c>
    </row>
    <row r="33">
      <c r="B33" s="10" t="inlineStr">
        <is>
          <t>TOTAL SAVED</t>
        </is>
      </c>
      <c r="C33" s="10">
        <f>SUM(C18:C32)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36" customWidth="1" min="1" max="1"/>
    <col width="14" customWidth="1" min="2" max="2"/>
    <col width="7" customWidth="1" min="3" max="3"/>
    <col width="9" customWidth="1" min="4" max="4"/>
    <col width="10" customWidth="1" min="5" max="5"/>
  </cols>
  <sheetData>
    <row r="1">
      <c r="A1" s="12" t="inlineStr">
        <is>
          <t>Copy-paste this to WhatsApp 7373077229 (core + recommended only)</t>
        </is>
      </c>
    </row>
    <row r="3">
      <c r="A3" s="13" t="inlineStr">
        <is>
          <t>Product</t>
        </is>
      </c>
      <c r="B3" s="13" t="inlineStr">
        <is>
          <t>Code</t>
        </is>
      </c>
      <c r="C3" s="13" t="inlineStr">
        <is>
          <t>Qty</t>
        </is>
      </c>
      <c r="D3" s="13" t="inlineStr">
        <is>
          <t>Rate</t>
        </is>
      </c>
      <c r="E3" s="13" t="inlineStr">
        <is>
          <t>Total</t>
        </is>
      </c>
    </row>
    <row r="4">
      <c r="A4" t="inlineStr">
        <is>
          <t>DHT22 temperature + humidity sensor</t>
        </is>
      </c>
      <c r="B4" t="inlineStr">
        <is>
          <t>282</t>
        </is>
      </c>
      <c r="C4" t="n">
        <v>1</v>
      </c>
      <c r="D4" t="n">
        <v>220</v>
      </c>
      <c r="E4" t="n">
        <v>220</v>
      </c>
    </row>
    <row r="5">
      <c r="A5" t="inlineStr">
        <is>
          <t>Female headers (1 strip)</t>
        </is>
      </c>
      <c r="B5" t="inlineStr">
        <is>
          <t>909</t>
        </is>
      </c>
      <c r="C5" t="n">
        <v>1</v>
      </c>
      <c r="D5" t="n">
        <v>9</v>
      </c>
      <c r="E5" t="n">
        <v>9</v>
      </c>
    </row>
    <row r="6">
      <c r="A6" t="inlineStr">
        <is>
          <t>L9110 driver module</t>
        </is>
      </c>
      <c r="B6" t="inlineStr">
        <is>
          <t>476</t>
        </is>
      </c>
      <c r="C6" t="n">
        <v>1</v>
      </c>
      <c r="D6" t="n">
        <v>70</v>
      </c>
      <c r="E6" t="n">
        <v>70</v>
      </c>
    </row>
    <row r="7">
      <c r="A7" t="inlineStr">
        <is>
          <t>2 CH opto relay module (5V)</t>
        </is>
      </c>
      <c r="B7" t="inlineStr">
        <is>
          <t>683</t>
        </is>
      </c>
      <c r="C7" t="n">
        <v>1</v>
      </c>
      <c r="D7" t="n">
        <v>78</v>
      </c>
      <c r="E7" t="n">
        <v>78</v>
      </c>
    </row>
    <row r="8">
      <c r="A8" t="inlineStr">
        <is>
          <t>3 inch CPU cooling fan 12V</t>
        </is>
      </c>
      <c r="B8" t="inlineStr">
        <is>
          <t>036</t>
        </is>
      </c>
      <c r="C8" t="n">
        <v>1</v>
      </c>
      <c r="D8" t="n">
        <v>85</v>
      </c>
      <c r="E8" t="n">
        <v>85</v>
      </c>
    </row>
    <row r="9">
      <c r="A9" t="inlineStr">
        <is>
          <t>Nichrome wire</t>
        </is>
      </c>
      <c r="B9" t="inlineStr">
        <is>
          <t>1132</t>
        </is>
      </c>
      <c r="C9" t="n">
        <v>1</v>
      </c>
      <c r="D9" t="n">
        <v>90</v>
      </c>
      <c r="E9" t="n">
        <v>90</v>
      </c>
    </row>
    <row r="10">
      <c r="A10" t="inlineStr">
        <is>
          <t>Toggle switch 3 pin</t>
        </is>
      </c>
      <c r="B10" t="inlineStr">
        <is>
          <t>923</t>
        </is>
      </c>
      <c r="C10" t="n">
        <v>1</v>
      </c>
      <c r="D10" t="n">
        <v>12</v>
      </c>
      <c r="E10" t="n">
        <v>12</v>
      </c>
    </row>
    <row r="11">
      <c r="A11" t="inlineStr">
        <is>
          <t>12V 2AMPS adapter</t>
        </is>
      </c>
      <c r="B11" t="inlineStr">
        <is>
          <t>226</t>
        </is>
      </c>
      <c r="C11" t="n">
        <v>1</v>
      </c>
      <c r="D11" t="n">
        <v>160</v>
      </c>
      <c r="E11" t="n">
        <v>160</v>
      </c>
    </row>
    <row r="12">
      <c r="A12" t="inlineStr">
        <is>
          <t>DC power female screw socket</t>
        </is>
      </c>
      <c r="B12" t="inlineStr">
        <is>
          <t>916</t>
        </is>
      </c>
      <c r="C12" t="n">
        <v>2</v>
      </c>
      <c r="D12" t="n">
        <v>20</v>
      </c>
      <c r="E12" t="n">
        <v>40</v>
      </c>
    </row>
    <row r="13">
      <c r="A13" t="inlineStr">
        <is>
          <t>Glass fuse 2A</t>
        </is>
      </c>
      <c r="B13" t="inlineStr">
        <is>
          <t>975</t>
        </is>
      </c>
      <c r="C13" t="n">
        <v>2</v>
      </c>
      <c r="D13" t="n">
        <v>2</v>
      </c>
      <c r="E13" t="n">
        <v>4</v>
      </c>
    </row>
    <row r="14">
      <c r="A14" t="inlineStr">
        <is>
          <t>2 pin terminal block</t>
        </is>
      </c>
      <c r="B14" t="inlineStr">
        <is>
          <t>953</t>
        </is>
      </c>
      <c r="C14" t="n">
        <v>4</v>
      </c>
      <c r="D14" t="n">
        <v>6</v>
      </c>
      <c r="E14" t="n">
        <v>24</v>
      </c>
    </row>
    <row r="15">
      <c r="A15" t="inlineStr">
        <is>
          <t>Heat shrink tube 3 mm - 1 M</t>
        </is>
      </c>
      <c r="B15" t="inlineStr">
        <is>
          <t>1150</t>
        </is>
      </c>
      <c r="C15" t="n">
        <v>1</v>
      </c>
      <c r="D15" t="n">
        <v>12</v>
      </c>
      <c r="E15" t="n">
        <v>12</v>
      </c>
    </row>
    <row r="16">
      <c r="A16" t="inlineStr">
        <is>
          <t>V8 data cable (1 MTS)</t>
        </is>
      </c>
      <c r="B16" t="inlineStr">
        <is>
          <t>1111</t>
        </is>
      </c>
      <c r="C16" t="n">
        <v>1</v>
      </c>
      <c r="D16" t="n">
        <v>50</v>
      </c>
      <c r="E16" t="n">
        <v>50</v>
      </c>
    </row>
    <row r="17">
      <c r="A17" t="inlineStr">
        <is>
          <t>Multimeter</t>
        </is>
      </c>
      <c r="B17" t="inlineStr">
        <is>
          <t>146</t>
        </is>
      </c>
      <c r="C17" t="n">
        <v>1</v>
      </c>
      <c r="D17" t="n">
        <v>145</v>
      </c>
      <c r="E17" t="n">
        <v>145</v>
      </c>
    </row>
    <row r="18">
      <c r="A18" t="inlineStr">
        <is>
          <t>16X2 LCD with I2C - BLUE</t>
        </is>
      </c>
      <c r="B18" t="inlineStr">
        <is>
          <t>804</t>
        </is>
      </c>
      <c r="C18" t="n">
        <v>1</v>
      </c>
      <c r="D18" t="n">
        <v>180</v>
      </c>
      <c r="E18" t="n">
        <v>180</v>
      </c>
    </row>
    <row r="19">
      <c r="A19" t="inlineStr">
        <is>
          <t>BMP280</t>
        </is>
      </c>
      <c r="B19" t="inlineStr">
        <is>
          <t>328</t>
        </is>
      </c>
      <c r="C19" t="n">
        <v>1</v>
      </c>
      <c r="D19" t="n">
        <v>55</v>
      </c>
      <c r="E19" t="n">
        <v>55</v>
      </c>
    </row>
    <row r="20">
      <c r="A20" t="inlineStr">
        <is>
          <t>PIR SENSOR</t>
        </is>
      </c>
      <c r="B20" t="inlineStr">
        <is>
          <t>272</t>
        </is>
      </c>
      <c r="C20" t="n">
        <v>1</v>
      </c>
      <c r="D20" t="n">
        <v>65</v>
      </c>
      <c r="E20" t="n">
        <v>65</v>
      </c>
    </row>
    <row r="21">
      <c r="A21" t="inlineStr">
        <is>
          <t>BH1750 LIGHT SENSOR</t>
        </is>
      </c>
      <c r="B21" t="inlineStr">
        <is>
          <t>295</t>
        </is>
      </c>
      <c r="C21" t="n">
        <v>1</v>
      </c>
      <c r="D21" t="n">
        <v>120</v>
      </c>
      <c r="E21" t="n">
        <v>120</v>
      </c>
    </row>
    <row r="22">
      <c r="A22" t="inlineStr">
        <is>
          <t>MB102 BREADBOARD SUPPLY</t>
        </is>
      </c>
      <c r="B22" t="inlineStr">
        <is>
          <t>590</t>
        </is>
      </c>
      <c r="C22" t="n">
        <v>1</v>
      </c>
      <c r="D22" t="n">
        <v>80</v>
      </c>
      <c r="E22" t="n">
        <v>80</v>
      </c>
    </row>
    <row r="23">
      <c r="A23" t="inlineStr">
        <is>
          <t>MICRO SD CARD READER</t>
        </is>
      </c>
      <c r="B23" t="inlineStr">
        <is>
          <t>340</t>
        </is>
      </c>
      <c r="C23" t="n">
        <v>1</v>
      </c>
      <c r="D23" t="n">
        <v>55</v>
      </c>
      <c r="E23" t="n">
        <v>55</v>
      </c>
    </row>
    <row r="24">
      <c r="A24" t="inlineStr">
        <is>
          <t>PLASTIC BOX 55</t>
        </is>
      </c>
      <c r="B24" t="inlineStr">
        <is>
          <t>1163</t>
        </is>
      </c>
      <c r="C24" t="n">
        <v>1</v>
      </c>
      <c r="D24" t="n">
        <v>43</v>
      </c>
      <c r="E24" t="n">
        <v>43</v>
      </c>
    </row>
    <row r="25">
      <c r="A25" t="inlineStr">
        <is>
          <t>INSULATION TAPE BLACK</t>
        </is>
      </c>
      <c r="B25" t="inlineStr">
        <is>
          <t>093</t>
        </is>
      </c>
      <c r="C25" t="n">
        <v>1</v>
      </c>
      <c r="D25" t="n">
        <v>14</v>
      </c>
      <c r="E25" t="n">
        <v>14</v>
      </c>
    </row>
    <row r="26">
      <c r="A26" t="inlineStr">
        <is>
          <t>4 INCH CABLE TIE (5 PCS)</t>
        </is>
      </c>
      <c r="B26" t="inlineStr">
        <is>
          <t>1131</t>
        </is>
      </c>
      <c r="C26" t="n">
        <v>1</v>
      </c>
      <c r="D26" t="n">
        <v>13</v>
      </c>
      <c r="E26" t="n">
        <v>13</v>
      </c>
    </row>
    <row r="27">
      <c r="D27" t="inlineStr">
        <is>
          <t>TOTAL</t>
        </is>
      </c>
      <c r="E27" s="10">
        <f>SUM(E4:E26)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42" customWidth="1" min="1" max="1"/>
    <col width="95" customWidth="1" min="2" max="2"/>
  </cols>
  <sheetData>
    <row r="1">
      <c r="A1" s="1" t="inlineStr">
        <is>
          <t>FeelsLike BOM — substitutions and cautions</t>
        </is>
      </c>
    </row>
    <row r="3">
      <c r="A3" s="10" t="inlineStr">
        <is>
          <t>Not available in this catalogue — source elsewhere</t>
        </is>
      </c>
      <c r="B3" s="14" t="inlineStr"/>
    </row>
    <row r="4">
      <c r="A4" t="inlineStr">
        <is>
          <t>SHT31 breakout</t>
        </is>
      </c>
      <c r="B4" s="14" t="inlineStr">
        <is>
          <t>README's preferred sensor. Not stocked. Closest = GY-21 HTU21 (code 304); DHT22 (282) is the firmware default and is stocked.</t>
        </is>
      </c>
    </row>
    <row r="5">
      <c r="A5" t="inlineStr">
        <is>
          <t>IRLZ44N / D4184 logic-level MOSFET module</t>
        </is>
      </c>
      <c r="B5" s="14" t="inlineStr">
        <is>
          <t>Not stocked. Substituted with L9110 driver module (476) for the fan + 2-ch opto relay (683) for the heater. IRF Z44 (902) alone is NOT a drop-in at 3.3 V gate drive.</t>
        </is>
      </c>
    </row>
    <row r="6">
      <c r="A6" t="inlineStr">
        <is>
          <t>10 W wirewound power resistor + heatsink</t>
        </is>
      </c>
      <c r="B6" s="14" t="inlineStr">
        <is>
          <t>Not stocked. Substituted with nichrome wire (1132) on standoffs, or a filament bulb (1157 + 1160).</t>
        </is>
      </c>
    </row>
    <row r="7">
      <c r="A7" t="inlineStr">
        <is>
          <t>40 mm 5 V fan</t>
        </is>
      </c>
      <c r="B7" s="14" t="inlineStr">
        <is>
          <t>Not stocked. Closest = 3 inch 12 V CPU fan (036).</t>
        </is>
      </c>
    </row>
    <row r="8">
      <c r="B8" s="14" t="inlineStr"/>
    </row>
    <row r="9">
      <c r="A9" s="10" t="inlineStr">
        <is>
          <t>Safety, non-negotiable</t>
        </is>
      </c>
      <c r="B9" s="14" t="inlineStr"/>
    </row>
    <row r="10">
      <c r="A10" t="inlineStr">
        <is>
          <t>Toggle switch</t>
        </is>
      </c>
      <c r="B10" s="14" t="inlineStr">
        <is>
          <t>Goes in series with the ACTUATOR supply only, never in the ESP32 line. This is safety layer 0 in hardware/README.md.</t>
        </is>
      </c>
    </row>
    <row r="11">
      <c r="A11" t="inlineStr">
        <is>
          <t>Common ground</t>
        </is>
      </c>
      <c r="B11" s="14" t="inlineStr">
        <is>
          <t>ESP32 GND and the 12 V/5 V actuator supply GND must be tied together or the switching will not work.</t>
        </is>
      </c>
    </row>
    <row r="12">
      <c r="A12" t="inlineStr">
        <is>
          <t>Heater mounting</t>
        </is>
      </c>
      <c r="B12" s="14" t="inlineStr">
        <is>
          <t>Free air, on standoffs, nothing touching the cardboard. Never leave it unattended during the calibration run.</t>
        </is>
      </c>
    </row>
    <row r="13">
      <c r="A13" t="inlineStr">
        <is>
          <t>Measure, do not guess</t>
        </is>
      </c>
      <c r="B13" s="14" t="inlineStr">
        <is>
          <t>run_calibration --power takes a measured wattage. Use the multimeter (146): measure the element resistance and the real supply voltage, then P = V^2/R.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2026-09-07T07:12:57Z</dcterms:created>
  <dcterms:modified xmlns:dcterms="http://purl.org/dc/terms/" xmlns:xsi="http://www.w3.org/2001/XMLSchema-instance" xsi:type="dcterms:W3CDTF">2026-09-07T07:26:53Z</dcterms:modified>
</cp:coreProperties>
</file>